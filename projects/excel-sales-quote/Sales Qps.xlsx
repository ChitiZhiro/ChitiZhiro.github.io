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 Sales\PROJECT\work\"/>
    </mc:Choice>
  </mc:AlternateContent>
  <xr:revisionPtr revIDLastSave="0" documentId="13_ncr:1_{A0A18C41-2352-43C9-821E-5529C9E0C7A7}" xr6:coauthVersionLast="47" xr6:coauthVersionMax="47" xr10:uidLastSave="{00000000-0000-0000-0000-000000000000}"/>
  <bookViews>
    <workbookView xWindow="-108" yWindow="-108" windowWidth="23256" windowHeight="12456" xr2:uid="{BEC19405-6C9A-4013-B21E-9404F397B50F}"/>
  </bookViews>
  <sheets>
    <sheet name="QPS" sheetId="3" r:id="rId1"/>
    <sheet name="FINAL QU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D10" i="2"/>
  <c r="F10" i="2"/>
  <c r="H10" i="2" s="1"/>
  <c r="G10" i="2"/>
  <c r="C11" i="2"/>
  <c r="D11" i="2"/>
  <c r="F11" i="2"/>
  <c r="G11" i="2"/>
  <c r="H11" i="2"/>
  <c r="C12" i="2"/>
  <c r="D12" i="2"/>
  <c r="F12" i="2"/>
  <c r="G12" i="2"/>
  <c r="H12" i="2" s="1"/>
  <c r="C13" i="2"/>
  <c r="D13" i="2"/>
  <c r="F13" i="2"/>
  <c r="H13" i="2" s="1"/>
  <c r="G13" i="2"/>
  <c r="C14" i="2"/>
  <c r="D14" i="2"/>
  <c r="F14" i="2"/>
  <c r="G14" i="2"/>
  <c r="H14" i="2"/>
  <c r="O8" i="3"/>
  <c r="O5" i="3"/>
  <c r="O4" i="3"/>
  <c r="G6" i="2" l="1"/>
  <c r="G7" i="2"/>
  <c r="G8" i="2"/>
  <c r="G9" i="2"/>
  <c r="G5" i="2"/>
  <c r="F6" i="2"/>
  <c r="F7" i="2"/>
  <c r="F8" i="2"/>
  <c r="F9" i="2"/>
  <c r="F5" i="2"/>
  <c r="D6" i="2"/>
  <c r="D7" i="2"/>
  <c r="D8" i="2"/>
  <c r="D9" i="2"/>
  <c r="D5" i="2"/>
  <c r="C6" i="2"/>
  <c r="C7" i="2"/>
  <c r="C8" i="2"/>
  <c r="C9" i="2"/>
  <c r="C5" i="2"/>
  <c r="H45" i="3" l="1"/>
  <c r="G45" i="3"/>
  <c r="H44" i="3"/>
  <c r="I44" i="3" s="1"/>
  <c r="G44" i="3"/>
  <c r="H43" i="3"/>
  <c r="G43" i="3"/>
  <c r="H42" i="3"/>
  <c r="G42" i="3"/>
  <c r="H41" i="3"/>
  <c r="I41" i="3" s="1"/>
  <c r="G41" i="3"/>
  <c r="H40" i="3"/>
  <c r="G40" i="3"/>
  <c r="H39" i="3"/>
  <c r="I39" i="3" s="1"/>
  <c r="G39" i="3"/>
  <c r="H38" i="3"/>
  <c r="I38" i="3" s="1"/>
  <c r="G38" i="3"/>
  <c r="H37" i="3"/>
  <c r="G37" i="3"/>
  <c r="H36" i="3"/>
  <c r="I36" i="3" s="1"/>
  <c r="G36" i="3"/>
  <c r="H18" i="3"/>
  <c r="O20" i="3" s="1"/>
  <c r="G18" i="3"/>
  <c r="H17" i="3"/>
  <c r="O19" i="3" s="1"/>
  <c r="G17" i="3"/>
  <c r="H16" i="3"/>
  <c r="O18" i="3" s="1"/>
  <c r="G16" i="3"/>
  <c r="H15" i="3"/>
  <c r="O17" i="3" s="1"/>
  <c r="G15" i="3"/>
  <c r="H14" i="3"/>
  <c r="O16" i="3" s="1"/>
  <c r="G14" i="3"/>
  <c r="H13" i="3"/>
  <c r="O15" i="3" s="1"/>
  <c r="G13" i="3"/>
  <c r="H1" i="3"/>
  <c r="G19" i="3" l="1"/>
  <c r="H9" i="2"/>
  <c r="G12" i="3"/>
  <c r="G20" i="3" s="1"/>
  <c r="H19" i="3"/>
  <c r="I43" i="3"/>
  <c r="I40" i="3"/>
  <c r="I37" i="3"/>
  <c r="I45" i="3"/>
  <c r="I42" i="3"/>
  <c r="H5" i="2"/>
  <c r="H8" i="2"/>
  <c r="H7" i="2"/>
  <c r="H6" i="2"/>
  <c r="H15" i="2" l="1"/>
  <c r="H12" i="3"/>
  <c r="G21" i="3"/>
  <c r="H20" i="3" l="1"/>
  <c r="H21" i="3" s="1"/>
  <c r="O14" i="3"/>
  <c r="O21" i="3" s="1"/>
  <c r="H16" i="2"/>
  <c r="H17" i="2" s="1"/>
  <c r="I25" i="3" l="1"/>
  <c r="K36" i="3" s="1"/>
  <c r="J36" i="3" s="1"/>
  <c r="O25" i="3"/>
  <c r="I24" i="3" l="1"/>
  <c r="K38" i="3"/>
  <c r="J38" i="3" s="1"/>
  <c r="K45" i="3"/>
  <c r="J45" i="3" s="1"/>
  <c r="K37" i="3"/>
  <c r="J37" i="3" s="1"/>
  <c r="K44" i="3"/>
  <c r="J44" i="3" s="1"/>
  <c r="K40" i="3"/>
  <c r="J40" i="3" s="1"/>
  <c r="K43" i="3"/>
  <c r="J43" i="3" s="1"/>
  <c r="K41" i="3"/>
  <c r="J41" i="3" s="1"/>
  <c r="K39" i="3"/>
  <c r="J39" i="3" s="1"/>
  <c r="K42" i="3"/>
  <c r="J42" i="3" s="1"/>
  <c r="I26" i="3" l="1"/>
  <c r="O22" i="3" s="1"/>
  <c r="O23" i="3" s="1"/>
  <c r="O24" i="3" s="1"/>
</calcChain>
</file>

<file path=xl/sharedStrings.xml><?xml version="1.0" encoding="utf-8"?>
<sst xmlns="http://schemas.openxmlformats.org/spreadsheetml/2006/main" count="133" uniqueCount="106">
  <si>
    <t>Quotation Preview System</t>
  </si>
  <si>
    <t>Customer</t>
  </si>
  <si>
    <t>Ventor</t>
  </si>
  <si>
    <t>Currency</t>
  </si>
  <si>
    <t>Exchange Rate</t>
  </si>
  <si>
    <t>Customer ID Ref</t>
  </si>
  <si>
    <t>Vendor ID Ref</t>
  </si>
  <si>
    <t>Date</t>
  </si>
  <si>
    <t>DETAILS</t>
  </si>
  <si>
    <t>ESTIMATED PRICE</t>
  </si>
  <si>
    <t>ACTUAL PRICE</t>
  </si>
  <si>
    <t>PER%</t>
  </si>
  <si>
    <t>Ex- Work</t>
  </si>
  <si>
    <t>Sea Frieght Charges</t>
  </si>
  <si>
    <t>Third Party Inspection</t>
  </si>
  <si>
    <t>Insurance</t>
  </si>
  <si>
    <t>Custom &amp; Port Charges</t>
  </si>
  <si>
    <t>Inland Transportation</t>
  </si>
  <si>
    <t>Money Cost &amp; Etc.</t>
  </si>
  <si>
    <t>Total Delivery Cost</t>
  </si>
  <si>
    <t>Quote Validity</t>
  </si>
  <si>
    <t>Prepared By</t>
  </si>
  <si>
    <t>Approved By</t>
  </si>
  <si>
    <t>Vendor P.O. ID</t>
  </si>
  <si>
    <t>ABC Comp. P.O ID</t>
  </si>
  <si>
    <t>TODAY</t>
  </si>
  <si>
    <t>Quotation</t>
  </si>
  <si>
    <t>SL.NO</t>
  </si>
  <si>
    <t>ITEM CODE</t>
  </si>
  <si>
    <t>QUANTITY</t>
  </si>
  <si>
    <t>UNIT COST(RS.)</t>
  </si>
  <si>
    <t>TOTAL PRICE</t>
  </si>
  <si>
    <t>Gross Profit Margin</t>
  </si>
  <si>
    <t>-</t>
  </si>
  <si>
    <t xml:space="preserve">UNIT COST </t>
  </si>
  <si>
    <t>AMOUNT (RS.)</t>
  </si>
  <si>
    <t>Mark-Up (Ex-Work &amp; Cost)</t>
  </si>
  <si>
    <t>TOTAL PRICE  (RS.)</t>
  </si>
  <si>
    <t>Approx. Price(Rs.) / Unit</t>
  </si>
  <si>
    <t>Sl.No.</t>
  </si>
  <si>
    <t>ITEM ID</t>
  </si>
  <si>
    <t>FINAL QUOTE</t>
  </si>
  <si>
    <t>UNIT COST</t>
  </si>
  <si>
    <t>TOTAL COST</t>
  </si>
  <si>
    <t>TOTAL PRICE W/O TAX</t>
  </si>
  <si>
    <t>TAX</t>
  </si>
  <si>
    <t xml:space="preserve">TOTAL PRICE </t>
  </si>
  <si>
    <t>DESCRIPTION</t>
  </si>
  <si>
    <t>UNIT</t>
  </si>
  <si>
    <t>EA</t>
  </si>
  <si>
    <t>REMARKS</t>
  </si>
  <si>
    <t>EX-STOCK</t>
  </si>
  <si>
    <t>PRODUCTS DESCRIP.</t>
  </si>
  <si>
    <t>VENDOR CURRENCY</t>
  </si>
  <si>
    <t>Overall Price (After Mark-Up)</t>
  </si>
  <si>
    <t>Total Selling Price(Rs.)</t>
  </si>
  <si>
    <t>Cost-to-Sales Ratio</t>
  </si>
  <si>
    <t>Cost% of Sell Price</t>
  </si>
  <si>
    <t>Total Cost Selling Price</t>
  </si>
  <si>
    <t>CURRENCY CONVERSION</t>
  </si>
  <si>
    <t>SELLING PRICE</t>
  </si>
  <si>
    <t>Selling Price/Unit(Rs.)</t>
  </si>
  <si>
    <t>Nature Of Quote</t>
  </si>
  <si>
    <t>ABC RFQ#</t>
  </si>
  <si>
    <t>RFQ NUMBER</t>
  </si>
  <si>
    <t>CUSTOMER NAME</t>
  </si>
  <si>
    <t>PAYMENT TERMS - CUSTOMER</t>
  </si>
  <si>
    <t>VENDOR NAME</t>
  </si>
  <si>
    <t>PAYMENT TERMS - VENDOR</t>
  </si>
  <si>
    <t>10% Down Payment</t>
  </si>
  <si>
    <t>Next 90 Days</t>
  </si>
  <si>
    <t>Currency in Customer Quote</t>
  </si>
  <si>
    <t>Ruppes</t>
  </si>
  <si>
    <t>QUOTE CALCULATIONS</t>
  </si>
  <si>
    <t>Price Quoted by the Vendor</t>
  </si>
  <si>
    <t>Total cost</t>
  </si>
  <si>
    <t>Profit Gross</t>
  </si>
  <si>
    <t>Total Amount Include All Expences</t>
  </si>
  <si>
    <t>GPM Status</t>
  </si>
  <si>
    <t>Vector Company</t>
  </si>
  <si>
    <t>Xandar Sellers</t>
  </si>
  <si>
    <t>EST Trading Company</t>
  </si>
  <si>
    <t>PRD-001</t>
  </si>
  <si>
    <t>PRD-002</t>
  </si>
  <si>
    <t>PRD-003</t>
  </si>
  <si>
    <t>PRD-004</t>
  </si>
  <si>
    <t>PRD-005</t>
  </si>
  <si>
    <t>PRD-006</t>
  </si>
  <si>
    <t>PRD-007</t>
  </si>
  <si>
    <t>PRD-008</t>
  </si>
  <si>
    <t>PRD-009</t>
  </si>
  <si>
    <t>INDUSTRIAL AIR COMP.</t>
  </si>
  <si>
    <t>HYDRAULIC PUMP</t>
  </si>
  <si>
    <t>PRD-010</t>
  </si>
  <si>
    <t>ELECTRIC MOTOR 5HP</t>
  </si>
  <si>
    <t>STAINLESS STEEL VALVE</t>
  </si>
  <si>
    <t>PRESSURE GUAGE</t>
  </si>
  <si>
    <t>CENTRIFUGAL PUMP</t>
  </si>
  <si>
    <t>GEAR BOX ASSEMBLY</t>
  </si>
  <si>
    <t>HEAT EXCHANGER</t>
  </si>
  <si>
    <t>INDUSTRIAL FAN</t>
  </si>
  <si>
    <t>CONTROL PANEL</t>
  </si>
  <si>
    <t>SAR</t>
  </si>
  <si>
    <t>90 DAYS</t>
  </si>
  <si>
    <t>CHITI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</si>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</sst>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Book Antiqua"/>
      <family val="1"/>
    </font>
    <font>
      <b/>
      <sz val="11"/>
      <color rgb="FFC00000"/>
      <name val="Book Antiqua"/>
      <family val="1"/>
    </font>
    <font>
      <b/>
      <i/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theme="6"/>
      <name val="Book Antiqua"/>
      <family val="1"/>
    </font>
    <font>
      <b/>
      <sz val="11"/>
      <color theme="2"/>
      <name val="Aptos Narrow"/>
      <family val="2"/>
      <scheme val="minor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 Rounded MT Bold"/>
      <family val="2"/>
    </font>
    <font>
      <b/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rial Rounded MT Bold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2"/>
      <name val="Arial Black"/>
      <family val="2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C000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Bahnschrift SemiBold"/>
      <family val="2"/>
    </font>
    <font>
      <sz val="11"/>
      <color theme="1"/>
      <name val="Bahnschrift SemiBold"/>
      <family val="2"/>
    </font>
    <font>
      <b/>
      <sz val="11"/>
      <color theme="1"/>
      <name val="Bahnschrift SemiBold"/>
      <family val="2"/>
    </font>
    <font>
      <b/>
      <sz val="11"/>
      <color rgb="FFFF0000"/>
      <name val="Bahnschrift SemiBold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22" fontId="3" fillId="0" borderId="1" xfId="0" applyNumberFormat="1" applyFont="1" applyBorder="1"/>
    <xf numFmtId="0" fontId="0" fillId="0" borderId="0" xfId="0" applyFont="1"/>
    <xf numFmtId="0" fontId="7" fillId="0" borderId="0" xfId="0" applyFont="1"/>
    <xf numFmtId="0" fontId="6" fillId="5" borderId="1" xfId="0" applyFont="1" applyFill="1" applyBorder="1" applyAlignment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7" fillId="6" borderId="5" xfId="0" applyFont="1" applyFill="1" applyBorder="1" applyAlignment="1"/>
    <xf numFmtId="9" fontId="18" fillId="6" borderId="5" xfId="1" applyFont="1" applyFill="1" applyBorder="1" applyAlignment="1">
      <alignment horizontal="center"/>
    </xf>
    <xf numFmtId="2" fontId="18" fillId="6" borderId="5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2" fontId="20" fillId="12" borderId="5" xfId="0" applyNumberFormat="1" applyFont="1" applyFill="1" applyBorder="1" applyAlignment="1">
      <alignment horizontal="center"/>
    </xf>
    <xf numFmtId="0" fontId="7" fillId="0" borderId="0" xfId="0" applyFont="1" applyAlignment="1"/>
    <xf numFmtId="0" fontId="3" fillId="0" borderId="6" xfId="0" applyFont="1" applyFill="1" applyBorder="1" applyAlignment="1"/>
    <xf numFmtId="0" fontId="0" fillId="0" borderId="6" xfId="0" applyFont="1" applyFill="1" applyBorder="1" applyAlignment="1"/>
    <xf numFmtId="0" fontId="0" fillId="0" borderId="20" xfId="0" applyFont="1" applyFill="1" applyBorder="1" applyAlignment="1"/>
    <xf numFmtId="0" fontId="3" fillId="0" borderId="22" xfId="0" applyFont="1" applyFill="1" applyBorder="1" applyAlignment="1"/>
    <xf numFmtId="0" fontId="24" fillId="15" borderId="24" xfId="0" applyFont="1" applyFill="1" applyBorder="1" applyAlignment="1"/>
    <xf numFmtId="9" fontId="24" fillId="15" borderId="25" xfId="1" applyFont="1" applyFill="1" applyBorder="1" applyAlignment="1">
      <alignment horizontal="center"/>
    </xf>
    <xf numFmtId="0" fontId="24" fillId="15" borderId="26" xfId="0" applyFont="1" applyFill="1" applyBorder="1" applyAlignment="1"/>
    <xf numFmtId="0" fontId="3" fillId="6" borderId="0" xfId="0" applyFont="1" applyFill="1" applyBorder="1" applyAlignment="1">
      <alignment horizontal="left"/>
    </xf>
    <xf numFmtId="2" fontId="3" fillId="6" borderId="0" xfId="0" applyNumberFormat="1" applyFont="1" applyFill="1" applyBorder="1" applyAlignment="1">
      <alignment horizontal="center"/>
    </xf>
    <xf numFmtId="2" fontId="13" fillId="6" borderId="0" xfId="0" applyNumberFormat="1" applyFont="1" applyFill="1" applyBorder="1" applyAlignment="1"/>
    <xf numFmtId="2" fontId="13" fillId="6" borderId="0" xfId="0" applyNumberFormat="1" applyFont="1" applyFill="1" applyBorder="1" applyAlignment="1">
      <alignment horizontal="right"/>
    </xf>
    <xf numFmtId="0" fontId="3" fillId="12" borderId="28" xfId="0" applyFont="1" applyFill="1" applyBorder="1" applyAlignment="1">
      <alignment horizontal="left"/>
    </xf>
    <xf numFmtId="0" fontId="23" fillId="0" borderId="29" xfId="0" applyFont="1" applyBorder="1" applyAlignment="1">
      <alignment horizontal="center"/>
    </xf>
    <xf numFmtId="0" fontId="3" fillId="12" borderId="30" xfId="0" applyFont="1" applyFill="1" applyBorder="1" applyAlignment="1">
      <alignment horizontal="left"/>
    </xf>
    <xf numFmtId="0" fontId="23" fillId="0" borderId="31" xfId="0" applyFont="1" applyBorder="1" applyAlignment="1">
      <alignment horizontal="center"/>
    </xf>
    <xf numFmtId="0" fontId="3" fillId="13" borderId="32" xfId="0" applyFont="1" applyFill="1" applyBorder="1" applyAlignment="1">
      <alignment horizontal="left"/>
    </xf>
    <xf numFmtId="0" fontId="3" fillId="13" borderId="33" xfId="0" applyFont="1" applyFill="1" applyBorder="1" applyAlignment="1">
      <alignment horizontal="center"/>
    </xf>
    <xf numFmtId="0" fontId="22" fillId="3" borderId="11" xfId="0" applyFont="1" applyFill="1" applyBorder="1" applyAlignment="1"/>
    <xf numFmtId="0" fontId="23" fillId="0" borderId="36" xfId="0" applyFont="1" applyBorder="1" applyAlignment="1">
      <alignment horizontal="center"/>
    </xf>
    <xf numFmtId="0" fontId="3" fillId="4" borderId="11" xfId="0" applyFont="1" applyFill="1" applyBorder="1" applyAlignment="1"/>
    <xf numFmtId="0" fontId="3" fillId="4" borderId="37" xfId="0" applyFont="1" applyFill="1" applyBorder="1" applyAlignment="1"/>
    <xf numFmtId="0" fontId="23" fillId="0" borderId="38" xfId="0" applyFont="1" applyBorder="1" applyAlignment="1">
      <alignment horizontal="center"/>
    </xf>
    <xf numFmtId="0" fontId="0" fillId="0" borderId="20" xfId="0" applyFont="1" applyBorder="1"/>
    <xf numFmtId="0" fontId="3" fillId="0" borderId="39" xfId="0" applyFont="1" applyBorder="1"/>
    <xf numFmtId="0" fontId="0" fillId="0" borderId="40" xfId="0" applyFont="1" applyBorder="1" applyAlignment="1">
      <alignment horizontal="center"/>
    </xf>
    <xf numFmtId="0" fontId="3" fillId="0" borderId="41" xfId="0" applyFont="1" applyBorder="1"/>
    <xf numFmtId="0" fontId="0" fillId="0" borderId="42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4" fontId="20" fillId="6" borderId="5" xfId="0" applyNumberFormat="1" applyFont="1" applyFill="1" applyBorder="1" applyAlignment="1">
      <alignment horizontal="center"/>
    </xf>
    <xf numFmtId="164" fontId="20" fillId="4" borderId="5" xfId="0" applyNumberFormat="1" applyFont="1" applyFill="1" applyBorder="1" applyAlignment="1">
      <alignment horizontal="center"/>
    </xf>
    <xf numFmtId="164" fontId="20" fillId="4" borderId="9" xfId="0" applyNumberFormat="1" applyFont="1" applyFill="1" applyBorder="1" applyAlignment="1">
      <alignment horizontal="center"/>
    </xf>
    <xf numFmtId="164" fontId="11" fillId="6" borderId="3" xfId="0" applyNumberFormat="1" applyFont="1" applyFill="1" applyBorder="1" applyAlignment="1">
      <alignment horizontal="right"/>
    </xf>
    <xf numFmtId="164" fontId="12" fillId="8" borderId="1" xfId="0" applyNumberFormat="1" applyFont="1" applyFill="1" applyBorder="1" applyAlignment="1">
      <alignment horizontal="right"/>
    </xf>
    <xf numFmtId="164" fontId="14" fillId="6" borderId="1" xfId="0" applyNumberFormat="1" applyFont="1" applyFill="1" applyBorder="1" applyAlignment="1">
      <alignment horizontal="right"/>
    </xf>
    <xf numFmtId="164" fontId="16" fillId="6" borderId="1" xfId="0" applyNumberFormat="1" applyFont="1" applyFill="1" applyBorder="1" applyAlignment="1">
      <alignment horizontal="right"/>
    </xf>
    <xf numFmtId="164" fontId="13" fillId="6" borderId="1" xfId="0" applyNumberFormat="1" applyFont="1" applyFill="1" applyBorder="1" applyAlignment="1">
      <alignment horizontal="right"/>
    </xf>
    <xf numFmtId="164" fontId="18" fillId="6" borderId="5" xfId="1" applyNumberFormat="1" applyFont="1" applyFill="1" applyBorder="1" applyAlignment="1">
      <alignment horizontal="center"/>
    </xf>
    <xf numFmtId="164" fontId="0" fillId="0" borderId="23" xfId="0" applyNumberFormat="1" applyFont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0" fillId="0" borderId="21" xfId="0" applyNumberFormat="1" applyFont="1" applyBorder="1" applyAlignment="1">
      <alignment horizontal="center"/>
    </xf>
    <xf numFmtId="164" fontId="24" fillId="15" borderId="25" xfId="0" applyNumberFormat="1" applyFont="1" applyFill="1" applyBorder="1" applyAlignment="1">
      <alignment horizontal="center"/>
    </xf>
    <xf numFmtId="164" fontId="24" fillId="15" borderId="27" xfId="0" applyNumberFormat="1" applyFont="1" applyFill="1" applyBorder="1" applyAlignment="1">
      <alignment horizontal="center"/>
    </xf>
    <xf numFmtId="164" fontId="21" fillId="11" borderId="14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3" xfId="0" applyNumberFormat="1" applyBorder="1"/>
    <xf numFmtId="0" fontId="10" fillId="14" borderId="9" xfId="0" applyFont="1" applyFill="1" applyBorder="1" applyAlignment="1">
      <alignment horizontal="center"/>
    </xf>
    <xf numFmtId="0" fontId="10" fillId="14" borderId="10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10" borderId="34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8" borderId="3" xfId="0" applyNumberFormat="1" applyFont="1" applyFill="1" applyBorder="1" applyAlignment="1">
      <alignment horizontal="center"/>
    </xf>
    <xf numFmtId="0" fontId="0" fillId="8" borderId="2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2" fontId="3" fillId="6" borderId="3" xfId="0" applyNumberFormat="1" applyFont="1" applyFill="1" applyBorder="1" applyAlignment="1">
      <alignment horizontal="center"/>
    </xf>
    <xf numFmtId="2" fontId="3" fillId="6" borderId="2" xfId="0" applyNumberFormat="1" applyFont="1" applyFill="1" applyBorder="1" applyAlignment="1">
      <alignment horizontal="center"/>
    </xf>
    <xf numFmtId="10" fontId="15" fillId="6" borderId="3" xfId="0" applyNumberFormat="1" applyFont="1" applyFill="1" applyBorder="1" applyAlignment="1">
      <alignment horizontal="center"/>
    </xf>
    <xf numFmtId="10" fontId="15" fillId="6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0" fontId="19" fillId="9" borderId="1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2" fontId="26" fillId="6" borderId="3" xfId="0" applyNumberFormat="1" applyFont="1" applyFill="1" applyBorder="1" applyAlignment="1"/>
    <xf numFmtId="2" fontId="27" fillId="8" borderId="3" xfId="0" applyNumberFormat="1" applyFont="1" applyFill="1" applyBorder="1" applyAlignment="1"/>
    <xf numFmtId="2" fontId="28" fillId="6" borderId="3" xfId="0" applyNumberFormat="1" applyFont="1" applyFill="1" applyBorder="1" applyAlignment="1"/>
    <xf numFmtId="2" fontId="29" fillId="6" borderId="3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2D7B-EDEC-42FF-8E9D-B0BB93B7526D}">
  <dimension ref="B1:O45"/>
  <sheetViews>
    <sheetView tabSelected="1" zoomScaleNormal="100" workbookViewId="0">
      <selection activeCell="J17" sqref="J17"/>
    </sheetView>
  </sheetViews>
  <sheetFormatPr defaultRowHeight="14.4" x14ac:dyDescent="0.3"/>
  <cols>
    <col min="1" max="1" width="8.88671875" style="8"/>
    <col min="2" max="2" width="11.77734375" style="8" bestFit="1" customWidth="1"/>
    <col min="3" max="3" width="10" style="8" bestFit="1" customWidth="1"/>
    <col min="4" max="4" width="25.6640625" style="8" bestFit="1" customWidth="1"/>
    <col min="5" max="5" width="12.77734375" style="8" bestFit="1" customWidth="1"/>
    <col min="6" max="6" width="10.21875" style="8" bestFit="1" customWidth="1"/>
    <col min="7" max="7" width="15.6640625" style="8" bestFit="1" customWidth="1"/>
    <col min="8" max="8" width="20" style="8" bestFit="1" customWidth="1"/>
    <col min="9" max="9" width="16.33203125" style="8" bestFit="1" customWidth="1"/>
    <col min="10" max="10" width="19.5546875" style="8" bestFit="1" customWidth="1"/>
    <col min="11" max="11" width="19.88671875" style="8" bestFit="1" customWidth="1"/>
    <col min="12" max="12" width="21" style="8" bestFit="1" customWidth="1"/>
    <col min="13" max="13" width="16.77734375" style="8" bestFit="1" customWidth="1"/>
    <col min="14" max="14" width="48" style="8" customWidth="1"/>
    <col min="15" max="15" width="44.44140625" style="8" customWidth="1"/>
    <col min="16" max="16384" width="8.88671875" style="8"/>
  </cols>
  <sheetData>
    <row r="1" spans="2:15" x14ac:dyDescent="0.3">
      <c r="B1" s="4" t="s">
        <v>63</v>
      </c>
      <c r="C1" s="5">
        <v>56789</v>
      </c>
      <c r="D1" s="80" t="s">
        <v>81</v>
      </c>
      <c r="E1" s="81"/>
      <c r="F1" s="82"/>
      <c r="G1" s="6" t="s">
        <v>25</v>
      </c>
      <c r="H1" s="7">
        <f ca="1">NOW()</f>
        <v>46279.991192245368</v>
      </c>
    </row>
    <row r="2" spans="2:15" ht="15" thickBot="1" x14ac:dyDescent="0.35">
      <c r="D2" s="23"/>
      <c r="E2" s="23"/>
      <c r="F2" s="23"/>
      <c r="G2" s="9"/>
      <c r="H2" s="9"/>
      <c r="I2" s="9"/>
    </row>
    <row r="3" spans="2:15" ht="16.2" thickBot="1" x14ac:dyDescent="0.35">
      <c r="D3" s="77" t="s">
        <v>0</v>
      </c>
      <c r="E3" s="78"/>
      <c r="F3" s="79"/>
      <c r="G3" s="9"/>
      <c r="H3" s="9"/>
      <c r="I3" s="9"/>
      <c r="N3" s="83" t="s">
        <v>62</v>
      </c>
      <c r="O3" s="84"/>
    </row>
    <row r="4" spans="2:15" ht="15.6" thickTop="1" thickBot="1" x14ac:dyDescent="0.35">
      <c r="N4" s="41" t="s">
        <v>64</v>
      </c>
      <c r="O4" s="42">
        <f>C1</f>
        <v>56789</v>
      </c>
    </row>
    <row r="5" spans="2:15" ht="15.6" thickTop="1" thickBot="1" x14ac:dyDescent="0.35">
      <c r="B5" s="91" t="s">
        <v>1</v>
      </c>
      <c r="C5" s="92"/>
      <c r="D5" s="74" t="s">
        <v>79</v>
      </c>
      <c r="E5" s="75"/>
      <c r="F5" s="76"/>
      <c r="G5" s="10" t="s">
        <v>5</v>
      </c>
      <c r="H5" s="11">
        <v>90876</v>
      </c>
      <c r="N5" s="43" t="s">
        <v>65</v>
      </c>
      <c r="O5" s="45" t="str">
        <f>D5</f>
        <v>Vector Company</v>
      </c>
    </row>
    <row r="6" spans="2:15" ht="15" thickBot="1" x14ac:dyDescent="0.35">
      <c r="B6" s="91" t="s">
        <v>2</v>
      </c>
      <c r="C6" s="92"/>
      <c r="D6" s="74" t="s">
        <v>80</v>
      </c>
      <c r="E6" s="75"/>
      <c r="F6" s="76"/>
      <c r="G6" s="10" t="s">
        <v>6</v>
      </c>
      <c r="H6" s="11">
        <v>23098</v>
      </c>
      <c r="N6" s="44" t="s">
        <v>66</v>
      </c>
      <c r="O6" s="52" t="s">
        <v>70</v>
      </c>
    </row>
    <row r="7" spans="2:15" ht="15" thickBot="1" x14ac:dyDescent="0.35">
      <c r="B7" s="91" t="s">
        <v>3</v>
      </c>
      <c r="C7" s="92"/>
      <c r="D7" s="93" t="s">
        <v>102</v>
      </c>
      <c r="E7" s="93"/>
      <c r="G7" s="10" t="s">
        <v>7</v>
      </c>
      <c r="H7" s="12">
        <v>46259</v>
      </c>
      <c r="N7" s="46"/>
      <c r="O7" s="51"/>
    </row>
    <row r="8" spans="2:15" ht="15" thickBot="1" x14ac:dyDescent="0.35">
      <c r="B8" s="91" t="s">
        <v>4</v>
      </c>
      <c r="C8" s="92"/>
      <c r="D8" s="93">
        <v>25.05</v>
      </c>
      <c r="E8" s="93"/>
      <c r="N8" s="35" t="s">
        <v>67</v>
      </c>
      <c r="O8" s="36" t="str">
        <f>D6</f>
        <v>Xandar Sellers</v>
      </c>
    </row>
    <row r="9" spans="2:15" ht="15.6" thickTop="1" thickBot="1" x14ac:dyDescent="0.35">
      <c r="N9" s="37" t="s">
        <v>68</v>
      </c>
      <c r="O9" s="38" t="s">
        <v>69</v>
      </c>
    </row>
    <row r="10" spans="2:15" ht="15" thickBot="1" x14ac:dyDescent="0.35">
      <c r="N10" s="47"/>
      <c r="O10" s="48"/>
    </row>
    <row r="11" spans="2:15" ht="15" thickBot="1" x14ac:dyDescent="0.35">
      <c r="B11" s="85" t="s">
        <v>8</v>
      </c>
      <c r="C11" s="86"/>
      <c r="D11" s="86"/>
      <c r="E11" s="13" t="s">
        <v>35</v>
      </c>
      <c r="F11" s="13" t="s">
        <v>11</v>
      </c>
      <c r="G11" s="13" t="s">
        <v>9</v>
      </c>
      <c r="H11" s="13" t="s">
        <v>10</v>
      </c>
      <c r="N11" s="39" t="s">
        <v>71</v>
      </c>
      <c r="O11" s="40" t="s">
        <v>72</v>
      </c>
    </row>
    <row r="12" spans="2:15" ht="15" thickBot="1" x14ac:dyDescent="0.35">
      <c r="B12" s="94" t="s">
        <v>12</v>
      </c>
      <c r="C12" s="95"/>
      <c r="D12" s="95"/>
      <c r="E12" s="87" t="s">
        <v>33</v>
      </c>
      <c r="F12" s="88"/>
      <c r="G12" s="120">
        <f>SUM(G36:G45)</f>
        <v>63455</v>
      </c>
      <c r="H12" s="57">
        <f>G12*D8</f>
        <v>1589547.75</v>
      </c>
      <c r="N12" s="49"/>
      <c r="O12" s="50"/>
    </row>
    <row r="13" spans="2:15" ht="15" thickBot="1" x14ac:dyDescent="0.35">
      <c r="B13" s="94" t="s">
        <v>13</v>
      </c>
      <c r="C13" s="95"/>
      <c r="D13" s="95"/>
      <c r="E13" s="89">
        <v>35000</v>
      </c>
      <c r="F13" s="90"/>
      <c r="G13" s="121">
        <f t="shared" ref="G13:G18" si="0">E13/$D$8</f>
        <v>1397.2055888223551</v>
      </c>
      <c r="H13" s="58">
        <f t="shared" ref="H13:H18" si="1">E13</f>
        <v>35000</v>
      </c>
      <c r="N13" s="72" t="s">
        <v>73</v>
      </c>
      <c r="O13" s="73"/>
    </row>
    <row r="14" spans="2:15" x14ac:dyDescent="0.3">
      <c r="B14" s="94" t="s">
        <v>14</v>
      </c>
      <c r="C14" s="95"/>
      <c r="D14" s="95"/>
      <c r="E14" s="89">
        <v>85000</v>
      </c>
      <c r="F14" s="90"/>
      <c r="G14" s="121">
        <f t="shared" si="0"/>
        <v>3393.2135728542912</v>
      </c>
      <c r="H14" s="58">
        <f t="shared" si="1"/>
        <v>85000</v>
      </c>
      <c r="N14" s="27" t="s">
        <v>74</v>
      </c>
      <c r="O14" s="63">
        <f>H12</f>
        <v>1589547.75</v>
      </c>
    </row>
    <row r="15" spans="2:15" x14ac:dyDescent="0.3">
      <c r="B15" s="94" t="s">
        <v>15</v>
      </c>
      <c r="C15" s="95"/>
      <c r="D15" s="95"/>
      <c r="E15" s="89">
        <v>25000</v>
      </c>
      <c r="F15" s="90"/>
      <c r="G15" s="121">
        <f t="shared" si="0"/>
        <v>998.00399201596804</v>
      </c>
      <c r="H15" s="58">
        <f t="shared" si="1"/>
        <v>25000</v>
      </c>
      <c r="N15" s="25" t="s">
        <v>13</v>
      </c>
      <c r="O15" s="64">
        <f t="shared" ref="O15:O20" si="2">H13</f>
        <v>35000</v>
      </c>
    </row>
    <row r="16" spans="2:15" x14ac:dyDescent="0.3">
      <c r="B16" s="94" t="s">
        <v>16</v>
      </c>
      <c r="C16" s="95"/>
      <c r="D16" s="95"/>
      <c r="E16" s="89">
        <v>18000</v>
      </c>
      <c r="F16" s="90"/>
      <c r="G16" s="121">
        <f t="shared" si="0"/>
        <v>718.56287425149696</v>
      </c>
      <c r="H16" s="58">
        <f t="shared" si="1"/>
        <v>18000</v>
      </c>
      <c r="N16" s="25" t="s">
        <v>14</v>
      </c>
      <c r="O16" s="64">
        <f t="shared" si="2"/>
        <v>85000</v>
      </c>
    </row>
    <row r="17" spans="2:15" x14ac:dyDescent="0.3">
      <c r="B17" s="94" t="s">
        <v>17</v>
      </c>
      <c r="C17" s="95"/>
      <c r="D17" s="95"/>
      <c r="E17" s="89">
        <v>45000</v>
      </c>
      <c r="F17" s="90"/>
      <c r="G17" s="121">
        <f t="shared" si="0"/>
        <v>1796.4071856287424</v>
      </c>
      <c r="H17" s="58">
        <f t="shared" si="1"/>
        <v>45000</v>
      </c>
      <c r="N17" s="25" t="s">
        <v>15</v>
      </c>
      <c r="O17" s="64">
        <f t="shared" si="2"/>
        <v>25000</v>
      </c>
    </row>
    <row r="18" spans="2:15" x14ac:dyDescent="0.3">
      <c r="B18" s="94" t="s">
        <v>18</v>
      </c>
      <c r="C18" s="95"/>
      <c r="D18" s="95"/>
      <c r="E18" s="89">
        <v>30000</v>
      </c>
      <c r="F18" s="90"/>
      <c r="G18" s="121">
        <f t="shared" si="0"/>
        <v>1197.6047904191616</v>
      </c>
      <c r="H18" s="58">
        <f t="shared" si="1"/>
        <v>30000</v>
      </c>
      <c r="N18" s="25" t="s">
        <v>16</v>
      </c>
      <c r="O18" s="64">
        <f t="shared" si="2"/>
        <v>18000</v>
      </c>
    </row>
    <row r="19" spans="2:15" x14ac:dyDescent="0.3">
      <c r="B19" s="100" t="s">
        <v>19</v>
      </c>
      <c r="C19" s="101"/>
      <c r="D19" s="101"/>
      <c r="E19" s="96" t="s">
        <v>33</v>
      </c>
      <c r="F19" s="97"/>
      <c r="G19" s="122">
        <f>SUM(G13:G18)</f>
        <v>9500.9980039920156</v>
      </c>
      <c r="H19" s="59">
        <f>SUM(H13:H18)</f>
        <v>238000</v>
      </c>
      <c r="N19" s="25" t="s">
        <v>17</v>
      </c>
      <c r="O19" s="64">
        <f t="shared" si="2"/>
        <v>45000</v>
      </c>
    </row>
    <row r="20" spans="2:15" x14ac:dyDescent="0.3">
      <c r="B20" s="100" t="s">
        <v>36</v>
      </c>
      <c r="C20" s="101"/>
      <c r="D20" s="101"/>
      <c r="E20" s="98">
        <v>0.5</v>
      </c>
      <c r="F20" s="99"/>
      <c r="G20" s="123">
        <f>G12*$E$20</f>
        <v>31727.5</v>
      </c>
      <c r="H20" s="60">
        <f>H12*$E$20</f>
        <v>794773.875</v>
      </c>
      <c r="N20" s="26" t="s">
        <v>18</v>
      </c>
      <c r="O20" s="65">
        <f t="shared" si="2"/>
        <v>30000</v>
      </c>
    </row>
    <row r="21" spans="2:15" ht="15" thickBot="1" x14ac:dyDescent="0.35">
      <c r="B21" s="100" t="s">
        <v>54</v>
      </c>
      <c r="C21" s="101"/>
      <c r="D21" s="101"/>
      <c r="E21" s="96" t="s">
        <v>33</v>
      </c>
      <c r="F21" s="97"/>
      <c r="G21" s="122">
        <f>SUM(G12,G19,G20)</f>
        <v>104683.49800399202</v>
      </c>
      <c r="H21" s="61">
        <f>SUM(H12,H19,H20)</f>
        <v>2622321.625</v>
      </c>
      <c r="N21" s="24" t="s">
        <v>75</v>
      </c>
      <c r="O21" s="64">
        <f>SUM(O14:O20)</f>
        <v>1827547.75</v>
      </c>
    </row>
    <row r="22" spans="2:15" ht="15" thickBot="1" x14ac:dyDescent="0.35">
      <c r="B22" s="31"/>
      <c r="C22" s="31"/>
      <c r="D22" s="31"/>
      <c r="E22" s="32"/>
      <c r="F22" s="32"/>
      <c r="G22" s="33"/>
      <c r="H22" s="34"/>
      <c r="N22" s="28" t="s">
        <v>76</v>
      </c>
      <c r="O22" s="66">
        <f>I26-O21</f>
        <v>794773.87499999953</v>
      </c>
    </row>
    <row r="23" spans="2:15" ht="15" thickBot="1" x14ac:dyDescent="0.35">
      <c r="N23" s="28" t="s">
        <v>32</v>
      </c>
      <c r="O23" s="29">
        <f>O22/H21</f>
        <v>0.30308024287447943</v>
      </c>
    </row>
    <row r="24" spans="2:15" ht="15" thickBot="1" x14ac:dyDescent="0.35">
      <c r="H24" s="14" t="s">
        <v>57</v>
      </c>
      <c r="I24" s="15">
        <f>I25</f>
        <v>0.6061604857489592</v>
      </c>
      <c r="N24" s="28" t="s">
        <v>78</v>
      </c>
      <c r="O24" s="29" t="str">
        <f>IF(O23&gt;=50%,"EXCELLENT",IF(O23&gt;=40%,"VERY GOOD",IF(O23&gt;=30%,"GOOD",IF(O23&gt;=20%,"AVERAGE",IF(O23&lt;20%,"LOW")))))</f>
        <v>GOOD</v>
      </c>
    </row>
    <row r="25" spans="2:15" ht="15.6" thickTop="1" thickBot="1" x14ac:dyDescent="0.35">
      <c r="B25" s="112" t="s">
        <v>20</v>
      </c>
      <c r="C25" s="113"/>
      <c r="D25" s="109" t="s">
        <v>103</v>
      </c>
      <c r="E25" s="110"/>
      <c r="F25" s="111"/>
      <c r="H25" s="14" t="s">
        <v>56</v>
      </c>
      <c r="I25" s="16">
        <f>H12/H21</f>
        <v>0.6061604857489592</v>
      </c>
      <c r="N25" s="30" t="s">
        <v>77</v>
      </c>
      <c r="O25" s="67">
        <f>H21</f>
        <v>2622321.625</v>
      </c>
    </row>
    <row r="26" spans="2:15" ht="15.6" thickTop="1" thickBot="1" x14ac:dyDescent="0.35">
      <c r="B26" s="112" t="s">
        <v>21</v>
      </c>
      <c r="C26" s="113"/>
      <c r="D26" s="109" t="s">
        <v>104</v>
      </c>
      <c r="E26" s="110"/>
      <c r="F26" s="111"/>
      <c r="H26" s="14" t="s">
        <v>58</v>
      </c>
      <c r="I26" s="62">
        <f>SUM(K36:K45)</f>
        <v>2622321.6249999995</v>
      </c>
    </row>
    <row r="27" spans="2:15" ht="15.6" thickTop="1" thickBot="1" x14ac:dyDescent="0.35">
      <c r="B27" s="112" t="s">
        <v>22</v>
      </c>
      <c r="C27" s="113"/>
      <c r="D27" s="109" t="s">
        <v>105</v>
      </c>
      <c r="E27" s="110"/>
      <c r="F27" s="111"/>
    </row>
    <row r="28" spans="2:15" ht="15.6" thickTop="1" thickBot="1" x14ac:dyDescent="0.35">
      <c r="B28" s="114" t="s">
        <v>23</v>
      </c>
      <c r="C28" s="115"/>
      <c r="D28" s="109">
        <v>134567</v>
      </c>
      <c r="E28" s="110"/>
      <c r="F28" s="111"/>
    </row>
    <row r="29" spans="2:15" ht="15.6" thickTop="1" thickBot="1" x14ac:dyDescent="0.35">
      <c r="B29" s="104" t="s">
        <v>24</v>
      </c>
      <c r="C29" s="105"/>
      <c r="D29" s="109">
        <v>86643</v>
      </c>
      <c r="E29" s="110"/>
      <c r="F29" s="111"/>
    </row>
    <row r="30" spans="2:15" x14ac:dyDescent="0.3">
      <c r="B30" s="17"/>
      <c r="C30" s="17"/>
      <c r="D30" s="18"/>
      <c r="E30" s="18"/>
      <c r="F30" s="18"/>
      <c r="G30" s="18"/>
    </row>
    <row r="31" spans="2:15" ht="15" thickBot="1" x14ac:dyDescent="0.35"/>
    <row r="32" spans="2:15" ht="18" thickBot="1" x14ac:dyDescent="0.5">
      <c r="E32" s="106" t="s">
        <v>26</v>
      </c>
      <c r="F32" s="107"/>
      <c r="G32" s="107"/>
      <c r="H32" s="107"/>
      <c r="I32" s="108"/>
    </row>
    <row r="33" spans="2:12" ht="15" thickBot="1" x14ac:dyDescent="0.35"/>
    <row r="34" spans="2:12" ht="15" thickBot="1" x14ac:dyDescent="0.35">
      <c r="F34" s="102" t="s">
        <v>53</v>
      </c>
      <c r="G34" s="103"/>
      <c r="H34" s="102" t="s">
        <v>59</v>
      </c>
      <c r="I34" s="103"/>
      <c r="J34" s="102" t="s">
        <v>60</v>
      </c>
      <c r="K34" s="103"/>
    </row>
    <row r="35" spans="2:12" ht="15" thickBot="1" x14ac:dyDescent="0.35">
      <c r="B35" s="19" t="s">
        <v>27</v>
      </c>
      <c r="C35" s="19" t="s">
        <v>28</v>
      </c>
      <c r="D35" s="19" t="s">
        <v>52</v>
      </c>
      <c r="E35" s="19" t="s">
        <v>29</v>
      </c>
      <c r="F35" s="19" t="s">
        <v>34</v>
      </c>
      <c r="G35" s="19" t="s">
        <v>31</v>
      </c>
      <c r="H35" s="19" t="s">
        <v>30</v>
      </c>
      <c r="I35" s="19" t="s">
        <v>37</v>
      </c>
      <c r="J35" s="19" t="s">
        <v>61</v>
      </c>
      <c r="K35" s="19" t="s">
        <v>55</v>
      </c>
      <c r="L35" s="20" t="s">
        <v>38</v>
      </c>
    </row>
    <row r="36" spans="2:12" ht="15.6" thickTop="1" thickBot="1" x14ac:dyDescent="0.35">
      <c r="B36" s="21">
        <v>1</v>
      </c>
      <c r="C36" s="21" t="s">
        <v>82</v>
      </c>
      <c r="D36" s="21" t="s">
        <v>91</v>
      </c>
      <c r="E36" s="21">
        <v>3</v>
      </c>
      <c r="F36" s="22">
        <v>2450</v>
      </c>
      <c r="G36" s="22">
        <f t="shared" ref="G36:G45" si="3">E36*F36</f>
        <v>7350</v>
      </c>
      <c r="H36" s="54">
        <f>F36*$D$8</f>
        <v>61372.5</v>
      </c>
      <c r="I36" s="54">
        <f>H36*E36</f>
        <v>184117.5</v>
      </c>
      <c r="J36" s="55">
        <f>K36/E36</f>
        <v>101247.93918918919</v>
      </c>
      <c r="K36" s="56">
        <f t="shared" ref="K36:K45" si="4">I36/($I$25)</f>
        <v>303743.81756756757</v>
      </c>
      <c r="L36" s="68">
        <v>101250</v>
      </c>
    </row>
    <row r="37" spans="2:12" ht="15.6" thickTop="1" thickBot="1" x14ac:dyDescent="0.35">
      <c r="B37" s="21">
        <v>2</v>
      </c>
      <c r="C37" s="21" t="s">
        <v>83</v>
      </c>
      <c r="D37" s="21" t="s">
        <v>92</v>
      </c>
      <c r="E37" s="21">
        <v>4</v>
      </c>
      <c r="F37" s="22">
        <v>1875</v>
      </c>
      <c r="G37" s="22">
        <f t="shared" si="3"/>
        <v>7500</v>
      </c>
      <c r="H37" s="54">
        <f t="shared" ref="H37:H45" si="5">F37*$D$8</f>
        <v>46968.75</v>
      </c>
      <c r="I37" s="54">
        <f t="shared" ref="I37:I45" si="6">H37*E37</f>
        <v>187875</v>
      </c>
      <c r="J37" s="55">
        <f t="shared" ref="J37:J45" si="7">K37/E37</f>
        <v>77485.667746828462</v>
      </c>
      <c r="K37" s="56">
        <f t="shared" si="4"/>
        <v>309942.67098731385</v>
      </c>
      <c r="L37" s="68">
        <v>77500</v>
      </c>
    </row>
    <row r="38" spans="2:12" ht="15.6" thickTop="1" thickBot="1" x14ac:dyDescent="0.35">
      <c r="B38" s="21">
        <v>3</v>
      </c>
      <c r="C38" s="21" t="s">
        <v>84</v>
      </c>
      <c r="D38" s="21" t="s">
        <v>94</v>
      </c>
      <c r="E38" s="21">
        <v>6</v>
      </c>
      <c r="F38" s="22">
        <v>980</v>
      </c>
      <c r="G38" s="22">
        <f t="shared" si="3"/>
        <v>5880</v>
      </c>
      <c r="H38" s="54">
        <f t="shared" si="5"/>
        <v>24549</v>
      </c>
      <c r="I38" s="54">
        <f t="shared" si="6"/>
        <v>147294</v>
      </c>
      <c r="J38" s="55">
        <f t="shared" si="7"/>
        <v>40499.175675675673</v>
      </c>
      <c r="K38" s="56">
        <f t="shared" si="4"/>
        <v>242995.05405405405</v>
      </c>
      <c r="L38" s="68">
        <v>40500</v>
      </c>
    </row>
    <row r="39" spans="2:12" ht="15.6" thickTop="1" thickBot="1" x14ac:dyDescent="0.35">
      <c r="B39" s="21">
        <v>4</v>
      </c>
      <c r="C39" s="21" t="s">
        <v>85</v>
      </c>
      <c r="D39" s="21" t="s">
        <v>95</v>
      </c>
      <c r="E39" s="21">
        <v>12</v>
      </c>
      <c r="F39" s="22">
        <v>325</v>
      </c>
      <c r="G39" s="22">
        <f t="shared" si="3"/>
        <v>3900</v>
      </c>
      <c r="H39" s="54">
        <f t="shared" si="5"/>
        <v>8141.25</v>
      </c>
      <c r="I39" s="54">
        <f t="shared" si="6"/>
        <v>97695</v>
      </c>
      <c r="J39" s="55">
        <f t="shared" si="7"/>
        <v>13430.849076116932</v>
      </c>
      <c r="K39" s="56">
        <f t="shared" si="4"/>
        <v>161170.1889134032</v>
      </c>
      <c r="L39" s="68">
        <v>13450</v>
      </c>
    </row>
    <row r="40" spans="2:12" ht="15.6" thickTop="1" thickBot="1" x14ac:dyDescent="0.35">
      <c r="B40" s="21">
        <v>5</v>
      </c>
      <c r="C40" s="21" t="s">
        <v>86</v>
      </c>
      <c r="D40" s="21" t="s">
        <v>96</v>
      </c>
      <c r="E40" s="21">
        <v>15</v>
      </c>
      <c r="F40" s="22">
        <v>145</v>
      </c>
      <c r="G40" s="22">
        <f t="shared" si="3"/>
        <v>2175</v>
      </c>
      <c r="H40" s="54">
        <f t="shared" si="5"/>
        <v>3632.25</v>
      </c>
      <c r="I40" s="54">
        <f t="shared" si="6"/>
        <v>54483.75</v>
      </c>
      <c r="J40" s="55">
        <f t="shared" si="7"/>
        <v>5992.2249724214007</v>
      </c>
      <c r="K40" s="56">
        <f t="shared" si="4"/>
        <v>89883.374586321006</v>
      </c>
      <c r="L40" s="68">
        <v>6000</v>
      </c>
    </row>
    <row r="41" spans="2:12" ht="15.6" thickTop="1" thickBot="1" x14ac:dyDescent="0.35">
      <c r="B41" s="21">
        <v>6</v>
      </c>
      <c r="C41" s="21" t="s">
        <v>87</v>
      </c>
      <c r="D41" s="21" t="s">
        <v>97</v>
      </c>
      <c r="E41" s="21">
        <v>2</v>
      </c>
      <c r="F41" s="22">
        <v>3250</v>
      </c>
      <c r="G41" s="22">
        <f t="shared" si="3"/>
        <v>6500</v>
      </c>
      <c r="H41" s="54">
        <f t="shared" si="5"/>
        <v>81412.5</v>
      </c>
      <c r="I41" s="54">
        <f t="shared" si="6"/>
        <v>162825</v>
      </c>
      <c r="J41" s="55">
        <f t="shared" si="7"/>
        <v>134308.49076116932</v>
      </c>
      <c r="K41" s="56">
        <f t="shared" si="4"/>
        <v>268616.98152233864</v>
      </c>
      <c r="L41" s="68">
        <v>135000</v>
      </c>
    </row>
    <row r="42" spans="2:12" ht="15.6" thickTop="1" thickBot="1" x14ac:dyDescent="0.35">
      <c r="B42" s="21">
        <v>7</v>
      </c>
      <c r="C42" s="21" t="s">
        <v>88</v>
      </c>
      <c r="D42" s="21" t="s">
        <v>98</v>
      </c>
      <c r="E42" s="21">
        <v>5</v>
      </c>
      <c r="F42" s="22">
        <v>1620</v>
      </c>
      <c r="G42" s="22">
        <f t="shared" si="3"/>
        <v>8100</v>
      </c>
      <c r="H42" s="54">
        <f t="shared" si="5"/>
        <v>40581</v>
      </c>
      <c r="I42" s="54">
        <f t="shared" si="6"/>
        <v>202905</v>
      </c>
      <c r="J42" s="55">
        <f t="shared" si="7"/>
        <v>66947.616933259793</v>
      </c>
      <c r="K42" s="56">
        <f t="shared" si="4"/>
        <v>334738.08466629894</v>
      </c>
      <c r="L42" s="68">
        <v>67000</v>
      </c>
    </row>
    <row r="43" spans="2:12" ht="15.6" thickTop="1" thickBot="1" x14ac:dyDescent="0.35">
      <c r="B43" s="21">
        <v>8</v>
      </c>
      <c r="C43" s="21" t="s">
        <v>89</v>
      </c>
      <c r="D43" s="21" t="s">
        <v>99</v>
      </c>
      <c r="E43" s="21">
        <v>2</v>
      </c>
      <c r="F43" s="22">
        <v>4800</v>
      </c>
      <c r="G43" s="22">
        <f t="shared" si="3"/>
        <v>9600</v>
      </c>
      <c r="H43" s="54">
        <f t="shared" si="5"/>
        <v>120240</v>
      </c>
      <c r="I43" s="54">
        <f t="shared" si="6"/>
        <v>240480</v>
      </c>
      <c r="J43" s="55">
        <f t="shared" si="7"/>
        <v>198363.30943188086</v>
      </c>
      <c r="K43" s="56">
        <f t="shared" si="4"/>
        <v>396726.61886376172</v>
      </c>
      <c r="L43" s="68">
        <v>199000</v>
      </c>
    </row>
    <row r="44" spans="2:12" ht="15.6" thickTop="1" thickBot="1" x14ac:dyDescent="0.35">
      <c r="B44" s="21">
        <v>9</v>
      </c>
      <c r="C44" s="21" t="s">
        <v>90</v>
      </c>
      <c r="D44" s="21" t="s">
        <v>100</v>
      </c>
      <c r="E44" s="21">
        <v>8</v>
      </c>
      <c r="F44" s="22">
        <v>750</v>
      </c>
      <c r="G44" s="22">
        <f t="shared" si="3"/>
        <v>6000</v>
      </c>
      <c r="H44" s="54">
        <f t="shared" si="5"/>
        <v>18787.5</v>
      </c>
      <c r="I44" s="54">
        <f t="shared" si="6"/>
        <v>150300</v>
      </c>
      <c r="J44" s="55">
        <f t="shared" si="7"/>
        <v>30994.267098731383</v>
      </c>
      <c r="K44" s="56">
        <f t="shared" si="4"/>
        <v>247954.13678985107</v>
      </c>
      <c r="L44" s="68">
        <v>31000</v>
      </c>
    </row>
    <row r="45" spans="2:12" ht="15.6" thickTop="1" thickBot="1" x14ac:dyDescent="0.35">
      <c r="B45" s="21">
        <v>10</v>
      </c>
      <c r="C45" s="21" t="s">
        <v>93</v>
      </c>
      <c r="D45" s="21" t="s">
        <v>101</v>
      </c>
      <c r="E45" s="21">
        <v>3</v>
      </c>
      <c r="F45" s="22">
        <v>2150</v>
      </c>
      <c r="G45" s="22">
        <f t="shared" si="3"/>
        <v>6450</v>
      </c>
      <c r="H45" s="54">
        <f t="shared" si="5"/>
        <v>53857.5</v>
      </c>
      <c r="I45" s="54">
        <f t="shared" si="6"/>
        <v>161572.5</v>
      </c>
      <c r="J45" s="55">
        <f t="shared" si="7"/>
        <v>88850.232349696627</v>
      </c>
      <c r="K45" s="56">
        <f t="shared" si="4"/>
        <v>266550.69704908988</v>
      </c>
      <c r="L45" s="68">
        <v>89000</v>
      </c>
    </row>
  </sheetData>
  <mergeCells count="47">
    <mergeCell ref="B18:D18"/>
    <mergeCell ref="B15:D15"/>
    <mergeCell ref="B16:D16"/>
    <mergeCell ref="B13:D13"/>
    <mergeCell ref="B14:D14"/>
    <mergeCell ref="E14:F14"/>
    <mergeCell ref="E15:F15"/>
    <mergeCell ref="B29:C29"/>
    <mergeCell ref="E32:I32"/>
    <mergeCell ref="F34:G34"/>
    <mergeCell ref="D29:F29"/>
    <mergeCell ref="B26:C26"/>
    <mergeCell ref="B27:C27"/>
    <mergeCell ref="B28:C28"/>
    <mergeCell ref="D26:F26"/>
    <mergeCell ref="D27:F27"/>
    <mergeCell ref="D28:F28"/>
    <mergeCell ref="B25:C25"/>
    <mergeCell ref="D25:F25"/>
    <mergeCell ref="B19:D19"/>
    <mergeCell ref="B17:D17"/>
    <mergeCell ref="E21:F21"/>
    <mergeCell ref="B20:D20"/>
    <mergeCell ref="B21:D21"/>
    <mergeCell ref="H34:I34"/>
    <mergeCell ref="J34:K34"/>
    <mergeCell ref="E16:F16"/>
    <mergeCell ref="E17:F17"/>
    <mergeCell ref="E18:F18"/>
    <mergeCell ref="E19:F19"/>
    <mergeCell ref="E20:F20"/>
    <mergeCell ref="N13:O13"/>
    <mergeCell ref="D6:F6"/>
    <mergeCell ref="D3:F3"/>
    <mergeCell ref="D1:F1"/>
    <mergeCell ref="N3:O3"/>
    <mergeCell ref="B11:D11"/>
    <mergeCell ref="E12:F12"/>
    <mergeCell ref="E13:F13"/>
    <mergeCell ref="B8:C8"/>
    <mergeCell ref="D8:E8"/>
    <mergeCell ref="B12:D12"/>
    <mergeCell ref="B6:C6"/>
    <mergeCell ref="B7:C7"/>
    <mergeCell ref="D7:E7"/>
    <mergeCell ref="D5:F5"/>
    <mergeCell ref="B5:C5"/>
  </mergeCells>
  <phoneticPr fontId="2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64A2-7ABC-4976-9A52-A9CBD6AB8AA6}">
  <dimension ref="B2:I18"/>
  <sheetViews>
    <sheetView workbookViewId="0">
      <selection activeCell="L15" sqref="L15"/>
    </sheetView>
  </sheetViews>
  <sheetFormatPr defaultRowHeight="14.4" x14ac:dyDescent="0.3"/>
  <cols>
    <col min="2" max="2" width="6.109375" bestFit="1" customWidth="1"/>
    <col min="3" max="3" width="8.109375" bestFit="1" customWidth="1"/>
    <col min="4" max="4" width="20.5546875" bestFit="1" customWidth="1"/>
    <col min="5" max="5" width="5" bestFit="1" customWidth="1"/>
    <col min="6" max="6" width="9.33203125" bestFit="1" customWidth="1"/>
    <col min="7" max="7" width="12" bestFit="1" customWidth="1"/>
    <col min="8" max="8" width="13.109375" bestFit="1" customWidth="1"/>
    <col min="9" max="9" width="9.109375" bestFit="1" customWidth="1"/>
  </cols>
  <sheetData>
    <row r="2" spans="2:9" x14ac:dyDescent="0.3">
      <c r="F2" s="116" t="s">
        <v>41</v>
      </c>
      <c r="G2" s="116"/>
    </row>
    <row r="4" spans="2:9" x14ac:dyDescent="0.3">
      <c r="B4" s="1" t="s">
        <v>39</v>
      </c>
      <c r="C4" s="1" t="s">
        <v>40</v>
      </c>
      <c r="D4" s="1" t="s">
        <v>47</v>
      </c>
      <c r="E4" s="1" t="s">
        <v>48</v>
      </c>
      <c r="F4" s="1" t="s">
        <v>29</v>
      </c>
      <c r="G4" s="1" t="s">
        <v>42</v>
      </c>
      <c r="H4" s="1" t="s">
        <v>43</v>
      </c>
      <c r="I4" s="1" t="s">
        <v>50</v>
      </c>
    </row>
    <row r="5" spans="2:9" x14ac:dyDescent="0.3">
      <c r="B5" s="2">
        <v>1</v>
      </c>
      <c r="C5" s="2" t="str">
        <f>QPS!C36</f>
        <v>PRD-001</v>
      </c>
      <c r="D5" s="2" t="str">
        <f>QPS!D36</f>
        <v>INDUSTRIAL AIR COMP.</v>
      </c>
      <c r="E5" s="2" t="s">
        <v>49</v>
      </c>
      <c r="F5" s="2">
        <f>QPS!E36</f>
        <v>3</v>
      </c>
      <c r="G5" s="70">
        <f>QPS!L36</f>
        <v>101250</v>
      </c>
      <c r="H5" s="70">
        <f>F5*G5</f>
        <v>303750</v>
      </c>
      <c r="I5" s="2" t="s">
        <v>51</v>
      </c>
    </row>
    <row r="6" spans="2:9" x14ac:dyDescent="0.3">
      <c r="B6" s="2">
        <v>2</v>
      </c>
      <c r="C6" s="2" t="str">
        <f>QPS!C37</f>
        <v>PRD-002</v>
      </c>
      <c r="D6" s="2" t="str">
        <f>QPS!D37</f>
        <v>HYDRAULIC PUMP</v>
      </c>
      <c r="E6" s="2" t="s">
        <v>49</v>
      </c>
      <c r="F6" s="2">
        <f>QPS!E37</f>
        <v>4</v>
      </c>
      <c r="G6" s="70">
        <f>QPS!L37</f>
        <v>77500</v>
      </c>
      <c r="H6" s="70">
        <f t="shared" ref="H6:H9" si="0">F6*G6</f>
        <v>310000</v>
      </c>
      <c r="I6" s="2" t="s">
        <v>51</v>
      </c>
    </row>
    <row r="7" spans="2:9" x14ac:dyDescent="0.3">
      <c r="B7" s="2">
        <v>3</v>
      </c>
      <c r="C7" s="2" t="str">
        <f>QPS!C38</f>
        <v>PRD-003</v>
      </c>
      <c r="D7" s="2" t="str">
        <f>QPS!D38</f>
        <v>ELECTRIC MOTOR 5HP</v>
      </c>
      <c r="E7" s="2" t="s">
        <v>49</v>
      </c>
      <c r="F7" s="2">
        <f>QPS!E38</f>
        <v>6</v>
      </c>
      <c r="G7" s="70">
        <f>QPS!L38</f>
        <v>40500</v>
      </c>
      <c r="H7" s="70">
        <f t="shared" si="0"/>
        <v>243000</v>
      </c>
      <c r="I7" s="2" t="s">
        <v>51</v>
      </c>
    </row>
    <row r="8" spans="2:9" x14ac:dyDescent="0.3">
      <c r="B8" s="2">
        <v>4</v>
      </c>
      <c r="C8" s="2" t="str">
        <f>QPS!C39</f>
        <v>PRD-004</v>
      </c>
      <c r="D8" s="2" t="str">
        <f>QPS!D39</f>
        <v>STAINLESS STEEL VALVE</v>
      </c>
      <c r="E8" s="2" t="s">
        <v>49</v>
      </c>
      <c r="F8" s="2">
        <f>QPS!E39</f>
        <v>12</v>
      </c>
      <c r="G8" s="70">
        <f>QPS!L39</f>
        <v>13450</v>
      </c>
      <c r="H8" s="70">
        <f t="shared" si="0"/>
        <v>161400</v>
      </c>
      <c r="I8" s="2" t="s">
        <v>51</v>
      </c>
    </row>
    <row r="9" spans="2:9" ht="15.6" customHeight="1" x14ac:dyDescent="0.3">
      <c r="B9" s="2">
        <v>5</v>
      </c>
      <c r="C9" s="2" t="str">
        <f>QPS!C40</f>
        <v>PRD-005</v>
      </c>
      <c r="D9" s="2" t="str">
        <f>QPS!D40</f>
        <v>PRESSURE GUAGE</v>
      </c>
      <c r="E9" s="2" t="s">
        <v>49</v>
      </c>
      <c r="F9" s="2">
        <f>QPS!E40</f>
        <v>15</v>
      </c>
      <c r="G9" s="70">
        <f>QPS!L40</f>
        <v>6000</v>
      </c>
      <c r="H9" s="70">
        <f t="shared" si="0"/>
        <v>90000</v>
      </c>
      <c r="I9" s="2" t="s">
        <v>51</v>
      </c>
    </row>
    <row r="10" spans="2:9" ht="15.6" customHeight="1" x14ac:dyDescent="0.3">
      <c r="B10" s="2">
        <v>6</v>
      </c>
      <c r="C10" s="2" t="str">
        <f>QPS!C41</f>
        <v>PRD-006</v>
      </c>
      <c r="D10" s="2" t="str">
        <f>QPS!D41</f>
        <v>CENTRIFUGAL PUMP</v>
      </c>
      <c r="E10" s="2" t="s">
        <v>49</v>
      </c>
      <c r="F10" s="2">
        <f>QPS!E41</f>
        <v>2</v>
      </c>
      <c r="G10" s="70">
        <f>QPS!L41</f>
        <v>135000</v>
      </c>
      <c r="H10" s="70">
        <f t="shared" ref="H10:H14" si="1">F10*G10</f>
        <v>270000</v>
      </c>
      <c r="I10" s="2" t="s">
        <v>51</v>
      </c>
    </row>
    <row r="11" spans="2:9" ht="15.6" customHeight="1" x14ac:dyDescent="0.3">
      <c r="B11" s="2">
        <v>7</v>
      </c>
      <c r="C11" s="2" t="str">
        <f>QPS!C42</f>
        <v>PRD-007</v>
      </c>
      <c r="D11" s="2" t="str">
        <f>QPS!D42</f>
        <v>GEAR BOX ASSEMBLY</v>
      </c>
      <c r="E11" s="2" t="s">
        <v>49</v>
      </c>
      <c r="F11" s="2">
        <f>QPS!E42</f>
        <v>5</v>
      </c>
      <c r="G11" s="70">
        <f>QPS!L42</f>
        <v>67000</v>
      </c>
      <c r="H11" s="70">
        <f t="shared" si="1"/>
        <v>335000</v>
      </c>
      <c r="I11" s="2" t="s">
        <v>51</v>
      </c>
    </row>
    <row r="12" spans="2:9" ht="15.6" customHeight="1" x14ac:dyDescent="0.3">
      <c r="B12" s="2">
        <v>8</v>
      </c>
      <c r="C12" s="2" t="str">
        <f>QPS!C43</f>
        <v>PRD-008</v>
      </c>
      <c r="D12" s="2" t="str">
        <f>QPS!D43</f>
        <v>HEAT EXCHANGER</v>
      </c>
      <c r="E12" s="2" t="s">
        <v>49</v>
      </c>
      <c r="F12" s="2">
        <f>QPS!E43</f>
        <v>2</v>
      </c>
      <c r="G12" s="70">
        <f>QPS!L43</f>
        <v>199000</v>
      </c>
      <c r="H12" s="70">
        <f t="shared" si="1"/>
        <v>398000</v>
      </c>
      <c r="I12" s="2" t="s">
        <v>51</v>
      </c>
    </row>
    <row r="13" spans="2:9" ht="15.6" customHeight="1" x14ac:dyDescent="0.3">
      <c r="B13" s="2">
        <v>9</v>
      </c>
      <c r="C13" s="2" t="str">
        <f>QPS!C44</f>
        <v>PRD-009</v>
      </c>
      <c r="D13" s="2" t="str">
        <f>QPS!D44</f>
        <v>INDUSTRIAL FAN</v>
      </c>
      <c r="E13" s="2" t="s">
        <v>49</v>
      </c>
      <c r="F13" s="2">
        <f>QPS!E44</f>
        <v>8</v>
      </c>
      <c r="G13" s="70">
        <f>QPS!L44</f>
        <v>31000</v>
      </c>
      <c r="H13" s="70">
        <f t="shared" si="1"/>
        <v>248000</v>
      </c>
      <c r="I13" s="2" t="s">
        <v>51</v>
      </c>
    </row>
    <row r="14" spans="2:9" ht="15.6" customHeight="1" thickBot="1" x14ac:dyDescent="0.35">
      <c r="B14" s="2">
        <v>10</v>
      </c>
      <c r="C14" s="2" t="str">
        <f>QPS!C45</f>
        <v>PRD-010</v>
      </c>
      <c r="D14" s="2" t="str">
        <f>QPS!D45</f>
        <v>CONTROL PANEL</v>
      </c>
      <c r="E14" s="2" t="s">
        <v>49</v>
      </c>
      <c r="F14" s="2">
        <f>QPS!E45</f>
        <v>3</v>
      </c>
      <c r="G14" s="70">
        <f>QPS!L45</f>
        <v>89000</v>
      </c>
      <c r="H14" s="70">
        <f t="shared" si="1"/>
        <v>267000</v>
      </c>
      <c r="I14" s="2" t="s">
        <v>51</v>
      </c>
    </row>
    <row r="15" spans="2:9" ht="15.6" customHeight="1" thickTop="1" thickBot="1" x14ac:dyDescent="0.35">
      <c r="B15" s="69"/>
      <c r="C15" s="69"/>
      <c r="D15" s="69"/>
      <c r="E15" s="69"/>
      <c r="F15" s="118" t="s">
        <v>44</v>
      </c>
      <c r="G15" s="119"/>
      <c r="H15" s="71">
        <f>SUM(H5:H9)</f>
        <v>1108150</v>
      </c>
      <c r="I15" s="69"/>
    </row>
    <row r="16" spans="2:9" ht="15.6" thickTop="1" thickBot="1" x14ac:dyDescent="0.35">
      <c r="F16" s="53" t="s">
        <v>45</v>
      </c>
      <c r="G16" s="3">
        <v>0.18</v>
      </c>
      <c r="H16" s="71">
        <f>H15*G16</f>
        <v>199467</v>
      </c>
    </row>
    <row r="17" spans="6:8" ht="15.6" thickTop="1" thickBot="1" x14ac:dyDescent="0.35">
      <c r="F17" s="117" t="s">
        <v>46</v>
      </c>
      <c r="G17" s="117"/>
      <c r="H17" s="71">
        <f>SUM(H15:H16)</f>
        <v>1307617</v>
      </c>
    </row>
    <row r="18" spans="6:8" ht="15" thickTop="1" x14ac:dyDescent="0.3"/>
  </sheetData>
  <mergeCells count="3">
    <mergeCell ref="F2:G2"/>
    <mergeCell ref="F17:G17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QPS</vt:lpstr>
      <vt:lpstr>FINAL 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Sithirai Pandian</dc:creator>
  <cp:lastModifiedBy>Sithirai Pandian</cp:lastModifiedBy>
  <dcterms:created xsi:type="dcterms:W3CDTF">2026-08-26T12:22:51Z</dcterms:created>
  <dcterms:modified xsi:type="dcterms:W3CDTF">2026-09-14T18:22:31Z</dcterms:modified>
</cp:coreProperties>
</file>